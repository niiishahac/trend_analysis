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 Trend" sheetId="1" state="visible" r:id="rId1"/>
    <sheet xmlns:r="http://schemas.openxmlformats.org/officeDocument/2006/relationships" name="Product Category Trend" sheetId="2" state="visible" r:id="rId2"/>
    <sheet xmlns:r="http://schemas.openxmlformats.org/officeDocument/2006/relationships" name="Regional Trend" sheetId="3" state="visible" r:id="rId3"/>
    <sheet xmlns:r="http://schemas.openxmlformats.org/officeDocument/2006/relationships" name="Customer Acquisition" sheetId="4" state="visible" r:id="rId4"/>
    <sheet xmlns:r="http://schemas.openxmlformats.org/officeDocument/2006/relationships" name="KPI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color rgb="002C3E50"/>
      <sz val="10"/>
    </font>
    <font>
      <name val="Calibri"/>
      <b val="1"/>
      <color rgb="00FFFFFF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1E3A5F"/>
      <sz val="12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2E5F8A"/>
      </patternFill>
    </fill>
    <fill>
      <patternFill patternType="solid">
        <fgColor rgb="00E8832A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/>
    </xf>
    <xf numFmtId="3" fontId="5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3" fontId="9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left" vertical="center" indent="1"/>
    </xf>
    <xf numFmtId="164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 2022 vs 2023 vs 2024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 Trend'!$A$4:$A$15</f>
            </numRef>
          </cat>
          <val>
            <numRef>
              <f>'Monthly Sales Trend'!$B$4:$B$15</f>
            </numRef>
          </val>
        </ser>
        <ser>
          <idx val="1"/>
          <order val="1"/>
          <tx>
            <strRef>
              <f>'Monthly Sales Trend'!C3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 Trend'!$A$4:$A$15</f>
            </numRef>
          </cat>
          <val>
            <numRef>
              <f>'Monthly Sales Trend'!$C$4:$C$15</f>
            </numRef>
          </val>
        </ser>
        <ser>
          <idx val="2"/>
          <order val="2"/>
          <tx>
            <strRef>
              <f>'Monthly Sales Trend'!D3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 Trend'!$A$4:$A$15</f>
            </numRef>
          </cat>
          <val>
            <numRef>
              <f>'Monthly Sales Trend'!$D$4:$D$15</f>
            </numRef>
          </val>
        </ser>
        <ser>
          <idx val="3"/>
          <order val="3"/>
          <tx>
            <strRef>
              <f>'Monthly Sales Trend'!E3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 Trend'!$A$4:$A$15</f>
            </numRef>
          </cat>
          <val>
            <numRef>
              <f>'Monthly Sales Trend'!$E$4:$E$15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 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 ht="32" customHeight="1">
      <c r="A1" s="1" t="inlineStr">
        <is>
          <t>MONTHLY SALES TREND ANALYSIS  |  FY 2022–2024</t>
        </is>
      </c>
    </row>
    <row r="2">
      <c r="A2" s="2" t="inlineStr">
        <is>
          <t>Revenue figures in USD Thousands  |  Target = Annual Sales Plan</t>
        </is>
      </c>
    </row>
    <row r="3">
      <c r="A3" s="3" t="inlineStr">
        <is>
          <t>Month</t>
        </is>
      </c>
      <c r="B3" s="3" t="inlineStr">
        <is>
          <t>2022 Sales</t>
        </is>
      </c>
      <c r="C3" s="3" t="inlineStr">
        <is>
          <t>2023 Sales</t>
        </is>
      </c>
      <c r="D3" s="3" t="inlineStr">
        <is>
          <t>2024 Sales</t>
        </is>
      </c>
      <c r="E3" s="3" t="inlineStr">
        <is>
          <t>Sales Target</t>
        </is>
      </c>
      <c r="F3" s="3" t="inlineStr">
        <is>
          <t>YoY Growth %</t>
        </is>
      </c>
      <c r="G3" s="3" t="inlineStr">
        <is>
          <t>vs Target %</t>
        </is>
      </c>
    </row>
    <row r="4">
      <c r="A4" s="4" t="inlineStr">
        <is>
          <t>Jan</t>
        </is>
      </c>
      <c r="B4" s="5" t="n">
        <v>520</v>
      </c>
      <c r="C4" s="5" t="n">
        <v>560</v>
      </c>
      <c r="D4" s="5" t="n">
        <v>610</v>
      </c>
      <c r="E4" s="5" t="n">
        <v>600</v>
      </c>
      <c r="F4" s="6">
        <f>(D4-C4)/C4</f>
        <v/>
      </c>
      <c r="G4" s="6">
        <f>(D4-E4)/E4</f>
        <v/>
      </c>
    </row>
    <row r="5">
      <c r="A5" s="7" t="inlineStr">
        <is>
          <t>Feb</t>
        </is>
      </c>
      <c r="B5" s="8" t="n">
        <v>490</v>
      </c>
      <c r="C5" s="8" t="n">
        <v>530</v>
      </c>
      <c r="D5" s="8" t="n">
        <v>580</v>
      </c>
      <c r="E5" s="8" t="n">
        <v>600</v>
      </c>
      <c r="F5" s="9">
        <f>(D5-C5)/C5</f>
        <v/>
      </c>
      <c r="G5" s="9">
        <f>(D5-E5)/E5</f>
        <v/>
      </c>
    </row>
    <row r="6">
      <c r="A6" s="4" t="inlineStr">
        <is>
          <t>Mar</t>
        </is>
      </c>
      <c r="B6" s="5" t="n">
        <v>610</v>
      </c>
      <c r="C6" s="5" t="n">
        <v>660</v>
      </c>
      <c r="D6" s="5" t="n">
        <v>730</v>
      </c>
      <c r="E6" s="5" t="n">
        <v>700</v>
      </c>
      <c r="F6" s="6">
        <f>(D6-C6)/C6</f>
        <v/>
      </c>
      <c r="G6" s="6">
        <f>(D6-E6)/E6</f>
        <v/>
      </c>
    </row>
    <row r="7">
      <c r="A7" s="7" t="inlineStr">
        <is>
          <t>Apr</t>
        </is>
      </c>
      <c r="B7" s="8" t="n">
        <v>580</v>
      </c>
      <c r="C7" s="8" t="n">
        <v>640</v>
      </c>
      <c r="D7" s="8" t="n">
        <v>700</v>
      </c>
      <c r="E7" s="8" t="n">
        <v>700</v>
      </c>
      <c r="F7" s="9">
        <f>(D7-C7)/C7</f>
        <v/>
      </c>
      <c r="G7" s="9">
        <f>(D7-E7)/E7</f>
        <v/>
      </c>
    </row>
    <row r="8">
      <c r="A8" s="4" t="inlineStr">
        <is>
          <t>May</t>
        </is>
      </c>
      <c r="B8" s="5" t="n">
        <v>640</v>
      </c>
      <c r="C8" s="5" t="n">
        <v>720</v>
      </c>
      <c r="D8" s="5" t="n">
        <v>800</v>
      </c>
      <c r="E8" s="5" t="n">
        <v>750</v>
      </c>
      <c r="F8" s="6">
        <f>(D8-C8)/C8</f>
        <v/>
      </c>
      <c r="G8" s="6">
        <f>(D8-E8)/E8</f>
        <v/>
      </c>
    </row>
    <row r="9">
      <c r="A9" s="7" t="inlineStr">
        <is>
          <t>Jun</t>
        </is>
      </c>
      <c r="B9" s="8" t="n">
        <v>700</v>
      </c>
      <c r="C9" s="8" t="n">
        <v>790</v>
      </c>
      <c r="D9" s="8" t="n">
        <v>880</v>
      </c>
      <c r="E9" s="8" t="n">
        <v>800</v>
      </c>
      <c r="F9" s="9">
        <f>(D9-C9)/C9</f>
        <v/>
      </c>
      <c r="G9" s="9">
        <f>(D9-E9)/E9</f>
        <v/>
      </c>
    </row>
    <row r="10">
      <c r="A10" s="4" t="inlineStr">
        <is>
          <t>Jul</t>
        </is>
      </c>
      <c r="B10" s="5" t="n">
        <v>750</v>
      </c>
      <c r="C10" s="5" t="n">
        <v>840</v>
      </c>
      <c r="D10" s="5" t="n">
        <v>950</v>
      </c>
      <c r="E10" s="5" t="n">
        <v>850</v>
      </c>
      <c r="F10" s="6">
        <f>(D10-C10)/C10</f>
        <v/>
      </c>
      <c r="G10" s="6">
        <f>(D10-E10)/E10</f>
        <v/>
      </c>
    </row>
    <row r="11">
      <c r="A11" s="7" t="inlineStr">
        <is>
          <t>Aug</t>
        </is>
      </c>
      <c r="B11" s="8" t="n">
        <v>720</v>
      </c>
      <c r="C11" s="8" t="n">
        <v>800</v>
      </c>
      <c r="D11" s="8" t="n">
        <v>910</v>
      </c>
      <c r="E11" s="8" t="n">
        <v>850</v>
      </c>
      <c r="F11" s="9">
        <f>(D11-C11)/C11</f>
        <v/>
      </c>
      <c r="G11" s="9">
        <f>(D11-E11)/E11</f>
        <v/>
      </c>
    </row>
    <row r="12">
      <c r="A12" s="4" t="inlineStr">
        <is>
          <t>Sep</t>
        </is>
      </c>
      <c r="B12" s="5" t="n">
        <v>670</v>
      </c>
      <c r="C12" s="5" t="n">
        <v>760</v>
      </c>
      <c r="D12" s="5" t="n">
        <v>850</v>
      </c>
      <c r="E12" s="5" t="n">
        <v>800</v>
      </c>
      <c r="F12" s="6">
        <f>(D12-C12)/C12</f>
        <v/>
      </c>
      <c r="G12" s="6">
        <f>(D12-E12)/E12</f>
        <v/>
      </c>
    </row>
    <row r="13">
      <c r="A13" s="7" t="inlineStr">
        <is>
          <t>Oct</t>
        </is>
      </c>
      <c r="B13" s="8" t="n">
        <v>690</v>
      </c>
      <c r="C13" s="8" t="n">
        <v>780</v>
      </c>
      <c r="D13" s="8" t="n">
        <v>870</v>
      </c>
      <c r="E13" s="8" t="n">
        <v>800</v>
      </c>
      <c r="F13" s="9">
        <f>(D13-C13)/C13</f>
        <v/>
      </c>
      <c r="G13" s="9">
        <f>(D13-E13)/E13</f>
        <v/>
      </c>
    </row>
    <row r="14">
      <c r="A14" s="4" t="inlineStr">
        <is>
          <t>Nov</t>
        </is>
      </c>
      <c r="B14" s="5" t="n">
        <v>730</v>
      </c>
      <c r="C14" s="5" t="n">
        <v>820</v>
      </c>
      <c r="D14" s="5" t="n">
        <v>930</v>
      </c>
      <c r="E14" s="5" t="n">
        <v>850</v>
      </c>
      <c r="F14" s="6">
        <f>(D14-C14)/C14</f>
        <v/>
      </c>
      <c r="G14" s="6">
        <f>(D14-E14)/E14</f>
        <v/>
      </c>
    </row>
    <row r="15">
      <c r="A15" s="7" t="inlineStr">
        <is>
          <t>Dec</t>
        </is>
      </c>
      <c r="B15" s="8" t="n">
        <v>810</v>
      </c>
      <c r="C15" s="8" t="n">
        <v>920</v>
      </c>
      <c r="D15" s="8" t="n">
        <v>1050</v>
      </c>
      <c r="E15" s="8" t="n">
        <v>950</v>
      </c>
      <c r="F15" s="9">
        <f>(D15-C15)/C15</f>
        <v/>
      </c>
      <c r="G15" s="9">
        <f>(D15-E15)/E15</f>
        <v/>
      </c>
    </row>
    <row r="16">
      <c r="A16" s="10" t="inlineStr">
        <is>
          <t>TOTAL</t>
        </is>
      </c>
      <c r="B16" s="11">
        <f>SUM(B4:B15)</f>
        <v/>
      </c>
      <c r="C16" s="11">
        <f>SUM(C4:C15)</f>
        <v/>
      </c>
      <c r="D16" s="11">
        <f>SUM(D4:D15)</f>
        <v/>
      </c>
      <c r="E16" s="11">
        <f>SUM(E4:E15)</f>
        <v/>
      </c>
      <c r="F16" s="12">
        <f>(D16-C16)/C16</f>
        <v/>
      </c>
      <c r="G16" s="12">
        <f>(D16-E16)/E16</f>
        <v/>
      </c>
    </row>
  </sheetData>
  <mergeCells count="3">
    <mergeCell ref="A1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PRODUCT CATEGORY TREND ANALYSIS  |  Q1 2023 – Q4 2024</t>
        </is>
      </c>
    </row>
    <row r="2">
      <c r="A2" s="2" t="inlineStr">
        <is>
          <t>Quarterly revenue by product category  |  USD Thousands</t>
        </is>
      </c>
    </row>
    <row r="3">
      <c r="A3" s="13" t="inlineStr">
        <is>
          <t>Category</t>
        </is>
      </c>
      <c r="B3" s="14" t="inlineStr">
        <is>
          <t>Q1 2023</t>
        </is>
      </c>
      <c r="C3" s="14" t="inlineStr">
        <is>
          <t>Q2 2023</t>
        </is>
      </c>
      <c r="D3" s="14" t="inlineStr">
        <is>
          <t>Q3 2023</t>
        </is>
      </c>
      <c r="E3" s="14" t="inlineStr">
        <is>
          <t>Q4 2023</t>
        </is>
      </c>
      <c r="F3" s="14" t="inlineStr">
        <is>
          <t>Q1 2024</t>
        </is>
      </c>
      <c r="G3" s="14" t="inlineStr">
        <is>
          <t>Q2 2024</t>
        </is>
      </c>
      <c r="H3" s="14" t="inlineStr">
        <is>
          <t>Q3 2024</t>
        </is>
      </c>
      <c r="I3" s="14" t="inlineStr">
        <is>
          <t>Q4 2024</t>
        </is>
      </c>
      <c r="J3" s="15" t="inlineStr">
        <is>
          <t>Total</t>
        </is>
      </c>
    </row>
    <row r="4">
      <c r="A4" s="16" t="inlineStr">
        <is>
          <t>Electronics</t>
        </is>
      </c>
      <c r="B4" s="5" t="n">
        <v>420</v>
      </c>
      <c r="C4" s="5" t="n">
        <v>460</v>
      </c>
      <c r="D4" s="5" t="n">
        <v>510</v>
      </c>
      <c r="E4" s="5" t="n">
        <v>580</v>
      </c>
      <c r="F4" s="5" t="n">
        <v>540</v>
      </c>
      <c r="G4" s="5" t="n">
        <v>600</v>
      </c>
      <c r="H4" s="5" t="n">
        <v>670</v>
      </c>
      <c r="I4" s="5" t="n">
        <v>750</v>
      </c>
      <c r="J4" s="17">
        <f>SUM(B4:I4)</f>
        <v/>
      </c>
    </row>
    <row r="5">
      <c r="A5" s="18" t="inlineStr">
        <is>
          <t>Apparel</t>
        </is>
      </c>
      <c r="B5" s="8" t="n">
        <v>310</v>
      </c>
      <c r="C5" s="8" t="n">
        <v>350</v>
      </c>
      <c r="D5" s="8" t="n">
        <v>320</v>
      </c>
      <c r="E5" s="8" t="n">
        <v>480</v>
      </c>
      <c r="F5" s="8" t="n">
        <v>340</v>
      </c>
      <c r="G5" s="8" t="n">
        <v>390</v>
      </c>
      <c r="H5" s="8" t="n">
        <v>360</v>
      </c>
      <c r="I5" s="8" t="n">
        <v>530</v>
      </c>
      <c r="J5" s="17">
        <f>SUM(B5:I5)</f>
        <v/>
      </c>
    </row>
    <row r="6">
      <c r="A6" s="16" t="inlineStr">
        <is>
          <t>Home &amp; Kitchen</t>
        </is>
      </c>
      <c r="B6" s="5" t="n">
        <v>180</v>
      </c>
      <c r="C6" s="5" t="n">
        <v>200</v>
      </c>
      <c r="D6" s="5" t="n">
        <v>220</v>
      </c>
      <c r="E6" s="5" t="n">
        <v>260</v>
      </c>
      <c r="F6" s="5" t="n">
        <v>210</v>
      </c>
      <c r="G6" s="5" t="n">
        <v>240</v>
      </c>
      <c r="H6" s="5" t="n">
        <v>265</v>
      </c>
      <c r="I6" s="5" t="n">
        <v>310</v>
      </c>
      <c r="J6" s="17">
        <f>SUM(B6:I6)</f>
        <v/>
      </c>
    </row>
    <row r="7">
      <c r="A7" s="18" t="inlineStr">
        <is>
          <t>Sports</t>
        </is>
      </c>
      <c r="B7" s="8" t="n">
        <v>150</v>
      </c>
      <c r="C7" s="8" t="n">
        <v>190</v>
      </c>
      <c r="D7" s="8" t="n">
        <v>230</v>
      </c>
      <c r="E7" s="8" t="n">
        <v>170</v>
      </c>
      <c r="F7" s="8" t="n">
        <v>180</v>
      </c>
      <c r="G7" s="8" t="n">
        <v>220</v>
      </c>
      <c r="H7" s="8" t="n">
        <v>270</v>
      </c>
      <c r="I7" s="8" t="n">
        <v>210</v>
      </c>
      <c r="J7" s="17">
        <f>SUM(B7:I7)</f>
        <v/>
      </c>
    </row>
    <row r="8">
      <c r="A8" s="16" t="inlineStr">
        <is>
          <t>Beauty</t>
        </is>
      </c>
      <c r="B8" s="5" t="n">
        <v>120</v>
      </c>
      <c r="C8" s="5" t="n">
        <v>140</v>
      </c>
      <c r="D8" s="5" t="n">
        <v>155</v>
      </c>
      <c r="E8" s="5" t="n">
        <v>200</v>
      </c>
      <c r="F8" s="5" t="n">
        <v>145</v>
      </c>
      <c r="G8" s="5" t="n">
        <v>168</v>
      </c>
      <c r="H8" s="5" t="n">
        <v>185</v>
      </c>
      <c r="I8" s="5" t="n">
        <v>230</v>
      </c>
      <c r="J8" s="17">
        <f>SUM(B8:I8)</f>
        <v/>
      </c>
    </row>
    <row r="9">
      <c r="A9" s="18" t="inlineStr">
        <is>
          <t>Automotive</t>
        </is>
      </c>
      <c r="B9" s="8" t="n">
        <v>90</v>
      </c>
      <c r="C9" s="8" t="n">
        <v>100</v>
      </c>
      <c r="D9" s="8" t="n">
        <v>110</v>
      </c>
      <c r="E9" s="8" t="n">
        <v>130</v>
      </c>
      <c r="F9" s="8" t="n">
        <v>105</v>
      </c>
      <c r="G9" s="8" t="n">
        <v>115</v>
      </c>
      <c r="H9" s="8" t="n">
        <v>130</v>
      </c>
      <c r="I9" s="8" t="n">
        <v>155</v>
      </c>
      <c r="J9" s="17">
        <f>SUM(B9:I9)</f>
        <v/>
      </c>
    </row>
    <row r="10">
      <c r="A10" s="16" t="inlineStr">
        <is>
          <t>Books</t>
        </is>
      </c>
      <c r="B10" s="5" t="n">
        <v>60</v>
      </c>
      <c r="C10" s="5" t="n">
        <v>55</v>
      </c>
      <c r="D10" s="5" t="n">
        <v>65</v>
      </c>
      <c r="E10" s="5" t="n">
        <v>100</v>
      </c>
      <c r="F10" s="5" t="n">
        <v>70</v>
      </c>
      <c r="G10" s="5" t="n">
        <v>65</v>
      </c>
      <c r="H10" s="5" t="n">
        <v>75</v>
      </c>
      <c r="I10" s="5" t="n">
        <v>115</v>
      </c>
      <c r="J10" s="17">
        <f>SUM(B10:I10)</f>
        <v/>
      </c>
    </row>
    <row r="11">
      <c r="A11" s="18" t="inlineStr">
        <is>
          <t>Toys</t>
        </is>
      </c>
      <c r="B11" s="8" t="n">
        <v>80</v>
      </c>
      <c r="C11" s="8" t="n">
        <v>90</v>
      </c>
      <c r="D11" s="8" t="n">
        <v>75</v>
      </c>
      <c r="E11" s="8" t="n">
        <v>180</v>
      </c>
      <c r="F11" s="8" t="n">
        <v>95</v>
      </c>
      <c r="G11" s="8" t="n">
        <v>105</v>
      </c>
      <c r="H11" s="8" t="n">
        <v>88</v>
      </c>
      <c r="I11" s="8" t="n">
        <v>210</v>
      </c>
      <c r="J11" s="17">
        <f>SUM(B11:I11)</f>
        <v/>
      </c>
    </row>
    <row r="12">
      <c r="A12" s="19" t="inlineStr">
        <is>
          <t>TOTAL</t>
        </is>
      </c>
      <c r="B12" s="20">
        <f>SUM(B4:B11)</f>
        <v/>
      </c>
      <c r="C12" s="20">
        <f>SUM(C4:C11)</f>
        <v/>
      </c>
      <c r="D12" s="20">
        <f>SUM(D4:D11)</f>
        <v/>
      </c>
      <c r="E12" s="20">
        <f>SUM(E4:E11)</f>
        <v/>
      </c>
      <c r="F12" s="20">
        <f>SUM(F4:F11)</f>
        <v/>
      </c>
      <c r="G12" s="20">
        <f>SUM(G4:G11)</f>
        <v/>
      </c>
      <c r="H12" s="20">
        <f>SUM(H4:H11)</f>
        <v/>
      </c>
      <c r="I12" s="20">
        <f>SUM(I4:I11)</f>
        <v/>
      </c>
      <c r="J12" s="21">
        <f>SUM(J4:J11)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REGIONAL SALES TREND ANALYSIS  |  FY 2024</t>
        </is>
      </c>
    </row>
    <row r="2">
      <c r="A2" s="2" t="inlineStr">
        <is>
          <t>Monthly revenue by region  |  USD Thousands</t>
        </is>
      </c>
    </row>
    <row r="3">
      <c r="A3" s="14" t="inlineStr">
        <is>
          <t>Month</t>
        </is>
      </c>
      <c r="B3" s="14" t="inlineStr">
        <is>
          <t>North</t>
        </is>
      </c>
      <c r="C3" s="14" t="inlineStr">
        <is>
          <t>South</t>
        </is>
      </c>
      <c r="D3" s="14" t="inlineStr">
        <is>
          <t>East</t>
        </is>
      </c>
      <c r="E3" s="14" t="inlineStr">
        <is>
          <t>West</t>
        </is>
      </c>
      <c r="F3" s="14" t="inlineStr">
        <is>
          <t>Central</t>
        </is>
      </c>
      <c r="G3" s="15" t="inlineStr">
        <is>
          <t>Total</t>
        </is>
      </c>
      <c r="H3" s="22" t="inlineStr">
        <is>
          <t>MoM Growth%</t>
        </is>
      </c>
    </row>
    <row r="4">
      <c r="A4" s="23" t="inlineStr">
        <is>
          <t>Jan</t>
        </is>
      </c>
      <c r="B4" s="5" t="n">
        <v>320</v>
      </c>
      <c r="C4" s="5" t="n">
        <v>280</v>
      </c>
      <c r="D4" s="5" t="n">
        <v>240</v>
      </c>
      <c r="E4" s="5" t="n">
        <v>200</v>
      </c>
      <c r="F4" s="5" t="n">
        <v>150</v>
      </c>
      <c r="G4" s="24">
        <f>SUM(B4:F4)</f>
        <v/>
      </c>
      <c r="H4" s="25" t="inlineStr">
        <is>
          <t>—</t>
        </is>
      </c>
    </row>
    <row r="5">
      <c r="A5" s="26" t="inlineStr">
        <is>
          <t>Feb</t>
        </is>
      </c>
      <c r="B5" s="8" t="n">
        <v>300</v>
      </c>
      <c r="C5" s="8" t="n">
        <v>260</v>
      </c>
      <c r="D5" s="8" t="n">
        <v>220</v>
      </c>
      <c r="E5" s="8" t="n">
        <v>185</v>
      </c>
      <c r="F5" s="8" t="n">
        <v>140</v>
      </c>
      <c r="G5" s="27">
        <f>SUM(B5:F5)</f>
        <v/>
      </c>
      <c r="H5" s="28">
        <f>(G5-G4)/G4</f>
        <v/>
      </c>
    </row>
    <row r="6">
      <c r="A6" s="23" t="inlineStr">
        <is>
          <t>Mar</t>
        </is>
      </c>
      <c r="B6" s="5" t="n">
        <v>380</v>
      </c>
      <c r="C6" s="5" t="n">
        <v>310</v>
      </c>
      <c r="D6" s="5" t="n">
        <v>275</v>
      </c>
      <c r="E6" s="5" t="n">
        <v>235</v>
      </c>
      <c r="F6" s="5" t="n">
        <v>175</v>
      </c>
      <c r="G6" s="24">
        <f>SUM(B6:F6)</f>
        <v/>
      </c>
      <c r="H6" s="29">
        <f>(G6-G5)/G5</f>
        <v/>
      </c>
    </row>
    <row r="7">
      <c r="A7" s="26" t="inlineStr">
        <is>
          <t>Apr</t>
        </is>
      </c>
      <c r="B7" s="8" t="n">
        <v>360</v>
      </c>
      <c r="C7" s="8" t="n">
        <v>290</v>
      </c>
      <c r="D7" s="8" t="n">
        <v>260</v>
      </c>
      <c r="E7" s="8" t="n">
        <v>220</v>
      </c>
      <c r="F7" s="8" t="n">
        <v>165</v>
      </c>
      <c r="G7" s="27">
        <f>SUM(B7:F7)</f>
        <v/>
      </c>
      <c r="H7" s="28">
        <f>(G7-G6)/G6</f>
        <v/>
      </c>
    </row>
    <row r="8">
      <c r="A8" s="23" t="inlineStr">
        <is>
          <t>May</t>
        </is>
      </c>
      <c r="B8" s="5" t="n">
        <v>400</v>
      </c>
      <c r="C8" s="5" t="n">
        <v>340</v>
      </c>
      <c r="D8" s="5" t="n">
        <v>300</v>
      </c>
      <c r="E8" s="5" t="n">
        <v>260</v>
      </c>
      <c r="F8" s="5" t="n">
        <v>195</v>
      </c>
      <c r="G8" s="24">
        <f>SUM(B8:F8)</f>
        <v/>
      </c>
      <c r="H8" s="29">
        <f>(G8-G7)/G7</f>
        <v/>
      </c>
    </row>
    <row r="9">
      <c r="A9" s="26" t="inlineStr">
        <is>
          <t>Jun</t>
        </is>
      </c>
      <c r="B9" s="8" t="n">
        <v>440</v>
      </c>
      <c r="C9" s="8" t="n">
        <v>380</v>
      </c>
      <c r="D9" s="8" t="n">
        <v>330</v>
      </c>
      <c r="E9" s="8" t="n">
        <v>290</v>
      </c>
      <c r="F9" s="8" t="n">
        <v>215</v>
      </c>
      <c r="G9" s="27">
        <f>SUM(B9:F9)</f>
        <v/>
      </c>
      <c r="H9" s="28">
        <f>(G9-G8)/G8</f>
        <v/>
      </c>
    </row>
    <row r="10">
      <c r="A10" s="23" t="inlineStr">
        <is>
          <t>Jul</t>
        </is>
      </c>
      <c r="B10" s="5" t="n">
        <v>480</v>
      </c>
      <c r="C10" s="5" t="n">
        <v>420</v>
      </c>
      <c r="D10" s="5" t="n">
        <v>360</v>
      </c>
      <c r="E10" s="5" t="n">
        <v>320</v>
      </c>
      <c r="F10" s="5" t="n">
        <v>240</v>
      </c>
      <c r="G10" s="24">
        <f>SUM(B10:F10)</f>
        <v/>
      </c>
      <c r="H10" s="29">
        <f>(G10-G9)/G9</f>
        <v/>
      </c>
    </row>
    <row r="11">
      <c r="A11" s="26" t="inlineStr">
        <is>
          <t>Aug</t>
        </is>
      </c>
      <c r="B11" s="8" t="n">
        <v>460</v>
      </c>
      <c r="C11" s="8" t="n">
        <v>400</v>
      </c>
      <c r="D11" s="8" t="n">
        <v>340</v>
      </c>
      <c r="E11" s="8" t="n">
        <v>305</v>
      </c>
      <c r="F11" s="8" t="n">
        <v>230</v>
      </c>
      <c r="G11" s="27">
        <f>SUM(B11:F11)</f>
        <v/>
      </c>
      <c r="H11" s="28">
        <f>(G11-G10)/G10</f>
        <v/>
      </c>
    </row>
    <row r="12">
      <c r="A12" s="23" t="inlineStr">
        <is>
          <t>Sep</t>
        </is>
      </c>
      <c r="B12" s="5" t="n">
        <v>430</v>
      </c>
      <c r="C12" s="5" t="n">
        <v>370</v>
      </c>
      <c r="D12" s="5" t="n">
        <v>315</v>
      </c>
      <c r="E12" s="5" t="n">
        <v>280</v>
      </c>
      <c r="F12" s="5" t="n">
        <v>210</v>
      </c>
      <c r="G12" s="24">
        <f>SUM(B12:F12)</f>
        <v/>
      </c>
      <c r="H12" s="29">
        <f>(G12-G11)/G11</f>
        <v/>
      </c>
    </row>
    <row r="13">
      <c r="A13" s="26" t="inlineStr">
        <is>
          <t>Oct</t>
        </is>
      </c>
      <c r="B13" s="8" t="n">
        <v>450</v>
      </c>
      <c r="C13" s="8" t="n">
        <v>390</v>
      </c>
      <c r="D13" s="8" t="n">
        <v>330</v>
      </c>
      <c r="E13" s="8" t="n">
        <v>295</v>
      </c>
      <c r="F13" s="8" t="n">
        <v>220</v>
      </c>
      <c r="G13" s="27">
        <f>SUM(B13:F13)</f>
        <v/>
      </c>
      <c r="H13" s="28">
        <f>(G13-G12)/G12</f>
        <v/>
      </c>
    </row>
    <row r="14">
      <c r="A14" s="23" t="inlineStr">
        <is>
          <t>Nov</t>
        </is>
      </c>
      <c r="B14" s="5" t="n">
        <v>470</v>
      </c>
      <c r="C14" s="5" t="n">
        <v>410</v>
      </c>
      <c r="D14" s="5" t="n">
        <v>355</v>
      </c>
      <c r="E14" s="5" t="n">
        <v>315</v>
      </c>
      <c r="F14" s="5" t="n">
        <v>235</v>
      </c>
      <c r="G14" s="24">
        <f>SUM(B14:F14)</f>
        <v/>
      </c>
      <c r="H14" s="29">
        <f>(G14-G13)/G13</f>
        <v/>
      </c>
    </row>
    <row r="15">
      <c r="A15" s="26" t="inlineStr">
        <is>
          <t>Dec</t>
        </is>
      </c>
      <c r="B15" s="8" t="n">
        <v>520</v>
      </c>
      <c r="C15" s="8" t="n">
        <v>470</v>
      </c>
      <c r="D15" s="8" t="n">
        <v>410</v>
      </c>
      <c r="E15" s="8" t="n">
        <v>365</v>
      </c>
      <c r="F15" s="8" t="n">
        <v>275</v>
      </c>
      <c r="G15" s="27">
        <f>SUM(B15:F15)</f>
        <v/>
      </c>
      <c r="H15" s="28">
        <f>(G15-G14)/G14</f>
        <v/>
      </c>
    </row>
    <row r="16">
      <c r="A16" s="19" t="inlineStr">
        <is>
          <t>TOTAL</t>
        </is>
      </c>
      <c r="B16" s="20">
        <f>SUM(B4:B15)</f>
        <v/>
      </c>
      <c r="C16" s="20">
        <f>SUM(C4:C15)</f>
        <v/>
      </c>
      <c r="D16" s="20">
        <f>SUM(D4:D15)</f>
        <v/>
      </c>
      <c r="E16" s="20">
        <f>SUM(E4:E15)</f>
        <v/>
      </c>
      <c r="F16" s="20">
        <f>SUM(F4:F15)</f>
        <v/>
      </c>
      <c r="G16" s="20">
        <f>SUM(G4:G15)</f>
        <v/>
      </c>
      <c r="H16" s="19" t="inlineStr">
        <is>
          <t>FY Total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CUSTOMER ACQUISITION TREND  |  Q1 2022 – Q4 2024</t>
        </is>
      </c>
    </row>
    <row r="2">
      <c r="A2" s="2" t="inlineStr">
        <is>
          <t>New customers acquired per quarter by channel</t>
        </is>
      </c>
    </row>
    <row r="3">
      <c r="A3" s="13" t="inlineStr">
        <is>
          <t>Channel</t>
        </is>
      </c>
      <c r="B3" s="14" t="inlineStr">
        <is>
          <t>Q1'22</t>
        </is>
      </c>
      <c r="C3" s="14" t="inlineStr">
        <is>
          <t>Q2'22</t>
        </is>
      </c>
      <c r="D3" s="14" t="inlineStr">
        <is>
          <t>Q3'22</t>
        </is>
      </c>
      <c r="E3" s="14" t="inlineStr">
        <is>
          <t>Q4'22</t>
        </is>
      </c>
      <c r="F3" s="14" t="inlineStr">
        <is>
          <t>Q1'23</t>
        </is>
      </c>
      <c r="G3" s="14" t="inlineStr">
        <is>
          <t>Q2'23</t>
        </is>
      </c>
      <c r="H3" s="14" t="inlineStr">
        <is>
          <t>Q3'23</t>
        </is>
      </c>
      <c r="I3" s="14" t="inlineStr">
        <is>
          <t>Q4'23</t>
        </is>
      </c>
      <c r="J3" s="14" t="inlineStr">
        <is>
          <t>Q1'24</t>
        </is>
      </c>
      <c r="K3" s="14" t="inlineStr">
        <is>
          <t>Q2'24</t>
        </is>
      </c>
      <c r="L3" s="14" t="inlineStr">
        <is>
          <t>Q3'24</t>
        </is>
      </c>
      <c r="M3" s="14" t="inlineStr">
        <is>
          <t>Q4'24</t>
        </is>
      </c>
      <c r="N3" s="15" t="inlineStr">
        <is>
          <t>Total</t>
        </is>
      </c>
    </row>
    <row r="4">
      <c r="A4" s="16" t="inlineStr">
        <is>
          <t>Organic Search</t>
        </is>
      </c>
      <c r="B4" s="5" t="n">
        <v>1200</v>
      </c>
      <c r="C4" s="5" t="n">
        <v>1350</v>
      </c>
      <c r="D4" s="5" t="n">
        <v>1500</v>
      </c>
      <c r="E4" s="5" t="n">
        <v>1420</v>
      </c>
      <c r="F4" s="5" t="n">
        <v>1600</v>
      </c>
      <c r="G4" s="5" t="n">
        <v>1750</v>
      </c>
      <c r="H4" s="5" t="n">
        <v>1900</v>
      </c>
      <c r="I4" s="5" t="n">
        <v>1820</v>
      </c>
      <c r="J4" s="5" t="n">
        <v>2000</v>
      </c>
      <c r="K4" s="5" t="n">
        <v>2200</v>
      </c>
      <c r="L4" s="5" t="n">
        <v>2400</v>
      </c>
      <c r="M4" s="5" t="n">
        <v>2300</v>
      </c>
      <c r="N4" s="21">
        <f>SUM(B4:M4)</f>
        <v/>
      </c>
    </row>
    <row r="5">
      <c r="A5" s="18" t="inlineStr">
        <is>
          <t>Paid Ads</t>
        </is>
      </c>
      <c r="B5" s="8" t="n">
        <v>800</v>
      </c>
      <c r="C5" s="8" t="n">
        <v>950</v>
      </c>
      <c r="D5" s="8" t="n">
        <v>1100</v>
      </c>
      <c r="E5" s="8" t="n">
        <v>1050</v>
      </c>
      <c r="F5" s="8" t="n">
        <v>1200</v>
      </c>
      <c r="G5" s="8" t="n">
        <v>1350</v>
      </c>
      <c r="H5" s="8" t="n">
        <v>1500</v>
      </c>
      <c r="I5" s="8" t="n">
        <v>1450</v>
      </c>
      <c r="J5" s="8" t="n">
        <v>1600</v>
      </c>
      <c r="K5" s="8" t="n">
        <v>1800</v>
      </c>
      <c r="L5" s="8" t="n">
        <v>2000</v>
      </c>
      <c r="M5" s="8" t="n">
        <v>1950</v>
      </c>
      <c r="N5" s="21">
        <f>SUM(B5:M5)</f>
        <v/>
      </c>
    </row>
    <row r="6">
      <c r="A6" s="16" t="inlineStr">
        <is>
          <t>Social Media</t>
        </is>
      </c>
      <c r="B6" s="5" t="n">
        <v>400</v>
      </c>
      <c r="C6" s="5" t="n">
        <v>480</v>
      </c>
      <c r="D6" s="5" t="n">
        <v>560</v>
      </c>
      <c r="E6" s="5" t="n">
        <v>540</v>
      </c>
      <c r="F6" s="5" t="n">
        <v>620</v>
      </c>
      <c r="G6" s="5" t="n">
        <v>700</v>
      </c>
      <c r="H6" s="5" t="n">
        <v>790</v>
      </c>
      <c r="I6" s="5" t="n">
        <v>760</v>
      </c>
      <c r="J6" s="5" t="n">
        <v>850</v>
      </c>
      <c r="K6" s="5" t="n">
        <v>950</v>
      </c>
      <c r="L6" s="5" t="n">
        <v>1060</v>
      </c>
      <c r="M6" s="5" t="n">
        <v>1020</v>
      </c>
      <c r="N6" s="21">
        <f>SUM(B6:M6)</f>
        <v/>
      </c>
    </row>
    <row r="7">
      <c r="A7" s="18" t="inlineStr">
        <is>
          <t>Referral</t>
        </is>
      </c>
      <c r="B7" s="8" t="n">
        <v>350</v>
      </c>
      <c r="C7" s="8" t="n">
        <v>380</v>
      </c>
      <c r="D7" s="8" t="n">
        <v>400</v>
      </c>
      <c r="E7" s="8" t="n">
        <v>420</v>
      </c>
      <c r="F7" s="8" t="n">
        <v>440</v>
      </c>
      <c r="G7" s="8" t="n">
        <v>460</v>
      </c>
      <c r="H7" s="8" t="n">
        <v>490</v>
      </c>
      <c r="I7" s="8" t="n">
        <v>510</v>
      </c>
      <c r="J7" s="8" t="n">
        <v>540</v>
      </c>
      <c r="K7" s="8" t="n">
        <v>570</v>
      </c>
      <c r="L7" s="8" t="n">
        <v>600</v>
      </c>
      <c r="M7" s="8" t="n">
        <v>630</v>
      </c>
      <c r="N7" s="21">
        <f>SUM(B7:M7)</f>
        <v/>
      </c>
    </row>
    <row r="8">
      <c r="A8" s="16" t="inlineStr">
        <is>
          <t>Email Campaign</t>
        </is>
      </c>
      <c r="B8" s="5" t="n">
        <v>300</v>
      </c>
      <c r="C8" s="5" t="n">
        <v>320</v>
      </c>
      <c r="D8" s="5" t="n">
        <v>310</v>
      </c>
      <c r="E8" s="5" t="n">
        <v>350</v>
      </c>
      <c r="F8" s="5" t="n">
        <v>360</v>
      </c>
      <c r="G8" s="5" t="n">
        <v>380</v>
      </c>
      <c r="H8" s="5" t="n">
        <v>370</v>
      </c>
      <c r="I8" s="5" t="n">
        <v>410</v>
      </c>
      <c r="J8" s="5" t="n">
        <v>420</v>
      </c>
      <c r="K8" s="5" t="n">
        <v>440</v>
      </c>
      <c r="L8" s="5" t="n">
        <v>430</v>
      </c>
      <c r="M8" s="5" t="n">
        <v>470</v>
      </c>
      <c r="N8" s="21">
        <f>SUM(B8:M8)</f>
        <v/>
      </c>
    </row>
    <row r="9">
      <c r="A9" s="18" t="inlineStr">
        <is>
          <t>Direct</t>
        </is>
      </c>
      <c r="B9" s="8" t="n">
        <v>200</v>
      </c>
      <c r="C9" s="8" t="n">
        <v>210</v>
      </c>
      <c r="D9" s="8" t="n">
        <v>220</v>
      </c>
      <c r="E9" s="8" t="n">
        <v>230</v>
      </c>
      <c r="F9" s="8" t="n">
        <v>240</v>
      </c>
      <c r="G9" s="8" t="n">
        <v>250</v>
      </c>
      <c r="H9" s="8" t="n">
        <v>260</v>
      </c>
      <c r="I9" s="8" t="n">
        <v>270</v>
      </c>
      <c r="J9" s="8" t="n">
        <v>285</v>
      </c>
      <c r="K9" s="8" t="n">
        <v>300</v>
      </c>
      <c r="L9" s="8" t="n">
        <v>315</v>
      </c>
      <c r="M9" s="8" t="n">
        <v>330</v>
      </c>
      <c r="N9" s="21">
        <f>SUM(B9:M9)</f>
        <v/>
      </c>
    </row>
    <row r="10">
      <c r="A10" s="19" t="inlineStr">
        <is>
          <t>TOTAL</t>
        </is>
      </c>
      <c r="B10" s="20">
        <f>SUM(B4:B9)</f>
        <v/>
      </c>
      <c r="C10" s="20">
        <f>SUM(C4:C9)</f>
        <v/>
      </c>
      <c r="D10" s="20">
        <f>SUM(D4:D9)</f>
        <v/>
      </c>
      <c r="E10" s="20">
        <f>SUM(E4:E9)</f>
        <v/>
      </c>
      <c r="F10" s="20">
        <f>SUM(F4:F9)</f>
        <v/>
      </c>
      <c r="G10" s="20">
        <f>SUM(G4:G9)</f>
        <v/>
      </c>
      <c r="H10" s="20">
        <f>SUM(H4:H9)</f>
        <v/>
      </c>
      <c r="I10" s="20">
        <f>SUM(I4:I9)</f>
        <v/>
      </c>
      <c r="J10" s="20">
        <f>SUM(J4:J9)</f>
        <v/>
      </c>
      <c r="K10" s="20">
        <f>SUM(K4:K9)</f>
        <v/>
      </c>
      <c r="L10" s="20">
        <f>SUM(L4:L9)</f>
        <v/>
      </c>
      <c r="M10" s="20">
        <f>SUM(M4:M9)</f>
        <v/>
      </c>
      <c r="N10" s="21">
        <f>SUM(N4:N9)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16" customWidth="1" min="3" max="3"/>
    <col width="14" customWidth="1" min="4" max="4"/>
  </cols>
  <sheetData>
    <row r="1" ht="36" customHeight="1">
      <c r="A1" s="30" t="inlineStr">
        <is>
          <t>KPI TREND SUMMARY DASHBOARD</t>
        </is>
      </c>
    </row>
    <row r="4" ht="40" customHeight="1">
      <c r="A4" s="31" t="inlineStr">
        <is>
          <t>Total Revenue 2024</t>
        </is>
      </c>
      <c r="B4" s="32" t="n"/>
      <c r="C4" s="33">
        <f>'Monthly Sales Trend'!D16</f>
        <v/>
      </c>
      <c r="D4" s="34" t="inlineStr">
        <is>
          <t>USD K</t>
        </is>
      </c>
    </row>
    <row r="5" ht="40" customHeight="1">
      <c r="A5" s="35" t="inlineStr">
        <is>
          <t>Total Revenue 2023</t>
        </is>
      </c>
      <c r="B5" s="32" t="n"/>
      <c r="C5" s="33">
        <f>'Monthly Sales Trend'!C16</f>
        <v/>
      </c>
      <c r="D5" s="34" t="inlineStr">
        <is>
          <t>USD K</t>
        </is>
      </c>
    </row>
    <row r="6" ht="40" customHeight="1">
      <c r="A6" s="36" t="inlineStr">
        <is>
          <t>YoY Revenue Growth</t>
        </is>
      </c>
      <c r="B6" s="32" t="n"/>
      <c r="C6" s="37">
        <f>('Monthly Sales Trend'!D16-'Monthly Sales Trend'!C16)/'Monthly Sales Trend'!C16</f>
        <v/>
      </c>
      <c r="D6" s="34" t="inlineStr">
        <is>
          <t>vs 2023</t>
        </is>
      </c>
    </row>
    <row r="7" ht="40" customHeight="1">
      <c r="A7" s="31" t="inlineStr">
        <is>
          <t>Top Category (2024)</t>
        </is>
      </c>
      <c r="B7" s="32" t="n"/>
      <c r="C7" s="38" t="inlineStr">
        <is>
          <t>Electronics</t>
        </is>
      </c>
      <c r="D7" s="34" t="inlineStr">
        <is>
          <t>Revenue</t>
        </is>
      </c>
    </row>
    <row r="8" ht="40" customHeight="1">
      <c r="A8" s="39" t="inlineStr">
        <is>
          <t>Total Customers 2024</t>
        </is>
      </c>
      <c r="B8" s="32" t="n"/>
      <c r="C8" s="33">
        <f>'Customer Acquisition'!N9</f>
        <v/>
      </c>
      <c r="D8" s="34" t="inlineStr">
        <is>
          <t>New Cust</t>
        </is>
      </c>
    </row>
    <row r="9" ht="40" customHeight="1">
      <c r="A9" s="35" t="inlineStr">
        <is>
          <t>Best Region 2024</t>
        </is>
      </c>
      <c r="B9" s="32" t="n"/>
      <c r="C9" s="38" t="inlineStr">
        <is>
          <t>North</t>
        </is>
      </c>
      <c r="D9" s="34" t="inlineStr">
        <is>
          <t>Revenue</t>
        </is>
      </c>
    </row>
  </sheetData>
  <mergeCells count="7">
    <mergeCell ref="A4:B4"/>
    <mergeCell ref="A7:B7"/>
    <mergeCell ref="A1:F1"/>
    <mergeCell ref="A5:B5"/>
    <mergeCell ref="A9:B9"/>
    <mergeCell ref="A8:B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2026-05-23T20:49:42Z</dcterms:created>
  <dcterms:modified xmlns:dcterms="http://purl.org/dc/terms/" xmlns:xsi="http://www.w3.org/2001/XMLSchema-instance" xsi:type="dcterms:W3CDTF">2026-05-23T20:49:42Z</dcterms:modified>
</cp:coreProperties>
</file>